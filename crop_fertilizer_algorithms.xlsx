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rop Recommendation" sheetId="1" state="visible" r:id="rId3"/>
    <sheet name="Fertilizer" sheetId="2" state="visible" r:id="rId4"/>
    <sheet name="Yield Prediction" sheetId="3" state="visible" r:id="rId5"/>
    <sheet name="Optimization &amp; Sustainability" sheetId="4" state="visible" r:id="rId6"/>
    <sheet name="ST-01 Pipeline" sheetId="5" state="visible" r:id="rId7"/>
    <sheet name="Notes" sheetId="6" state="visible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<sst xmlns="http://schemas.openxmlformats.org/spreadsheetml/2006/main" count="114" uniqueCount="103">
  <si>
    <t xml:space="preserve">Inputs: N, P, K, pH, temperature, humidity, rainfall. Typical published/Kaggle ranges; blue = hardcoded figures. Dataset-dependent upper bounds, not real-world performance.</t>
  </si>
  <si>
    <t xml:space="preserve">Algorithm</t>
  </si>
  <si>
    <t xml:space="preserve">Family</t>
  </si>
  <si>
    <t xml:space="preserve">Accuracy (low)</t>
  </si>
  <si>
    <t xml:space="preserve">Accuracy (high)</t>
  </si>
  <si>
    <t xml:space="preserve">Midpoint</t>
  </si>
  <si>
    <t xml:space="preserve">Notes</t>
  </si>
  <si>
    <t xml:space="preserve">Naive Bayes</t>
  </si>
  <si>
    <t xml:space="preserve">Probabilistic classifier</t>
  </si>
  <si>
    <t xml:space="preserve">Top performer on the Kaggle Crop Recommendation set (2,200 rows, 22 crops)</t>
  </si>
  <si>
    <t xml:space="preserve">Random Forest</t>
  </si>
  <si>
    <t xml:space="preserve">Ensemble (bagging)</t>
  </si>
  <si>
    <t xml:space="preserve">Robust baseline, gives feature importance</t>
  </si>
  <si>
    <t xml:space="preserve">XGBoost / Gradient Boosting / LightGBM</t>
  </si>
  <si>
    <t xml:space="preserve">Ensemble (boosting)</t>
  </si>
  <si>
    <t xml:space="preserve">Strong on tabular data</t>
  </si>
  <si>
    <t xml:space="preserve">SVM (RBF, scaled)</t>
  </si>
  <si>
    <t xml:space="preserve">Kernel method</t>
  </si>
  <si>
    <t xml:space="preserve">Needs feature scaling</t>
  </si>
  <si>
    <t xml:space="preserve">KNN</t>
  </si>
  <si>
    <t xml:space="preserve">Instance-based</t>
  </si>
  <si>
    <t xml:space="preserve">Sensitive to scaling and k</t>
  </si>
  <si>
    <t xml:space="preserve">ANN / MLP</t>
  </si>
  <si>
    <t xml:space="preserve">Neural network</t>
  </si>
  <si>
    <t xml:space="preserve">Needs tuning; small data limits gains</t>
  </si>
  <si>
    <t xml:space="preserve">Decision Tree</t>
  </si>
  <si>
    <t xml:space="preserve">Tree</t>
  </si>
  <si>
    <t xml:space="preserve">Most interpretable; overfits easily</t>
  </si>
  <si>
    <t xml:space="preserve">Logistic Regression</t>
  </si>
  <si>
    <t xml:space="preserve">Linear</t>
  </si>
  <si>
    <t xml:space="preserve">Simple baseline</t>
  </si>
  <si>
    <t xml:space="preserve">Ensemble / Voting / Stacking</t>
  </si>
  <si>
    <t xml:space="preserve">Meta-ensemble</t>
  </si>
  <si>
    <t xml:space="preserve">Marginal gain over the best single model</t>
  </si>
  <si>
    <t xml:space="preserve">Task</t>
  </si>
  <si>
    <t xml:space="preserve">Methods</t>
  </si>
  <si>
    <t xml:space="preserve">Fertilizer type classification (small Kaggle set, ~99 rows)</t>
  </si>
  <si>
    <t xml:space="preserve">Decision Tree / Random Forest / SVM / Naive Bayes</t>
  </si>
  <si>
    <t xml:space="preserve">Fertilizer type classification (larger datasets)</t>
  </si>
  <si>
    <t xml:space="preserve">Tree / ensemble / SVM models</t>
  </si>
  <si>
    <t xml:space="preserve">Nutrient deficiency detection (leaf images)</t>
  </si>
  <si>
    <t xml:space="preserve">Random Forest / SVM / CNN</t>
  </si>
  <si>
    <t xml:space="preserve">Fuzzy-logic dosage ranges</t>
  </si>
  <si>
    <t xml:space="preserve">Fuzzy inference systems</t>
  </si>
  <si>
    <t xml:space="preserve">Rule-based / agronomic (no accuracy score)</t>
  </si>
  <si>
    <t xml:space="preserve">ICAR Soil Test Crop Response (STCR) equations and FAO nutrient balance: not ML, but the standard way to compute dosage.</t>
  </si>
  <si>
    <t xml:space="preserve">Regression models are reported as R² (or RMSE), not accuracy.</t>
  </si>
  <si>
    <t xml:space="preserve">R² (low)</t>
  </si>
  <si>
    <t xml:space="preserve">R² (high)</t>
  </si>
  <si>
    <t xml:space="preserve">Linear / Multiple Regression</t>
  </si>
  <si>
    <t xml:space="preserve">Baseline</t>
  </si>
  <si>
    <t xml:space="preserve">Lasso / Ridge / SVR</t>
  </si>
  <si>
    <t xml:space="preserve">Regularised / kernel</t>
  </si>
  <si>
    <t xml:space="preserve">Random Forest Regressor</t>
  </si>
  <si>
    <t xml:space="preserve">Ensemble</t>
  </si>
  <si>
    <t xml:space="preserve">XGBoost / Gradient Boosting</t>
  </si>
  <si>
    <t xml:space="preserve">Usually best on tabular yield data</t>
  </si>
  <si>
    <t xml:space="preserve">ANN / DNN</t>
  </si>
  <si>
    <t xml:space="preserve">LSTM / CNN-LSTM</t>
  </si>
  <si>
    <t xml:space="preserve">Deep sequence (time series, remote sensing)</t>
  </si>
  <si>
    <t xml:space="preserve">Needs temporal/satellite data</t>
  </si>
  <si>
    <t xml:space="preserve">Method</t>
  </si>
  <si>
    <t xml:space="preserve">Purpose</t>
  </si>
  <si>
    <t xml:space="preserve">Evaluated on</t>
  </si>
  <si>
    <t xml:space="preserve">Typical result</t>
  </si>
  <si>
    <t xml:space="preserve">Multi-objective optimization (NSGA-II, linear programming)</t>
  </si>
  <si>
    <t xml:space="preserve">Cost vs yield vs environmental impact</t>
  </si>
  <si>
    <t xml:space="preserve">Pareto front quality</t>
  </si>
  <si>
    <t xml:space="preserve">n/a (no accuracy)</t>
  </si>
  <si>
    <t xml:space="preserve">Reinforcement learning (Q-learning, DQN)</t>
  </si>
  <si>
    <t xml:space="preserve">Fertilizer scheduling, over-application control</t>
  </si>
  <si>
    <t xml:space="preserve">Reward, nutrient-use efficiency</t>
  </si>
  <si>
    <t xml:space="preserve">n/a</t>
  </si>
  <si>
    <t xml:space="preserve">Crop simulation models (DSSAT, APSIM)</t>
  </si>
  <si>
    <t xml:space="preserve">Process-based yield and nutrient simulation</t>
  </si>
  <si>
    <t xml:space="preserve">R² after calibration</t>
  </si>
  <si>
    <t xml:space="preserve">R² ≈ 0.7-0.9</t>
  </si>
  <si>
    <t xml:space="preserve">Suggested hybrid pipeline for ST-01: Data-Driven Fertilizer &amp; Crop Yield Recommendation.</t>
  </si>
  <si>
    <t xml:space="preserve">Step</t>
  </si>
  <si>
    <t xml:space="preserve">Algorithm / method</t>
  </si>
  <si>
    <t xml:space="preserve">Role</t>
  </si>
  <si>
    <t xml:space="preserve">ST-01 requirement addressed</t>
  </si>
  <si>
    <t xml:space="preserve">Random Forest / XGBoost</t>
  </si>
  <si>
    <t xml:space="preserve">Crop and deficiency classification</t>
  </si>
  <si>
    <t xml:space="preserve">Nutrient deficiency; crop/condition differences</t>
  </si>
  <si>
    <t xml:space="preserve">XGBoost regressor</t>
  </si>
  <si>
    <t xml:space="preserve">Yield prediction</t>
  </si>
  <si>
    <t xml:space="preserve">Innovation: yield prediction</t>
  </si>
  <si>
    <t xml:space="preserve">STCR / rule-based dosage with min/max caps</t>
  </si>
  <si>
    <t xml:space="preserve">Dosage range with explainable limits</t>
  </si>
  <si>
    <t xml:space="preserve">Over-application constraint; dosage/range output</t>
  </si>
  <si>
    <t xml:space="preserve">Simple optimization + weighted score</t>
  </si>
  <si>
    <t xml:space="preserve">Cost optimization and sustainability scoring</t>
  </si>
  <si>
    <t xml:space="preserve">Innovation: cost and sustainability</t>
  </si>
  <si>
    <t xml:space="preserve">SHAP</t>
  </si>
  <si>
    <t xml:space="preserve">Explain why recommendations change across scenarios</t>
  </si>
  <si>
    <t xml:space="preserve">Final demo: scenario comparison and reasoning</t>
  </si>
  <si>
    <t xml:space="preserve">Notes &amp; caveats</t>
  </si>
  <si>
    <t xml:space="preserve">Accuracy figures are typical ranges from published papers and Kaggle notebooks, not guaranteed numbers.</t>
  </si>
  <si>
    <t xml:space="preserve">Results depend on dataset, split and tuning.</t>
  </si>
  <si>
    <t xml:space="preserve">Most 95-99%+ results come from small, clean, near-synthetic datasets; treat them as upper bounds.</t>
  </si>
  <si>
    <t xml:space="preserve">Midpoint columns are formulas (average of low and high); edit the blue cells and they update.</t>
  </si>
  <si>
    <t xml:space="preserve">Yield models use R², not accuracy; optimization methods use Pareto quality or reward.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</si>
</sst>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0.0%"/>
    <numFmt numFmtId="166" formatCode="0.00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i val="true"/>
      <sz val="9"/>
      <color rgb="FF595959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2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6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6" fontId="6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1" ySplit="2" topLeftCell="B3" activePane="bottomRight" state="frozen"/>
      <selection pane="topLeft" activeCell="A1" activeCellId="0" sqref="A1"/>
      <selection pane="topRight" activeCell="B1" activeCellId="0" sqref="B1"/>
      <selection pane="bottomLeft" activeCell="A3" activeCellId="0" sqref="A3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8"/>
    <col collapsed="false" customWidth="true" hidden="false" outlineLevel="0" max="2" min="2" style="0" width="26"/>
    <col collapsed="false" customWidth="true" hidden="false" outlineLevel="0" max="4" min="3" style="0" width="16"/>
    <col collapsed="false" customWidth="true" hidden="false" outlineLevel="0" max="5" min="5" style="0" width="13"/>
    <col collapsed="false" customWidth="true" hidden="false" outlineLevel="0" max="6" min="6" style="0" width="60"/>
  </cols>
  <sheetData>
    <row r="1" customFormat="false" ht="36" hidden="false" customHeight="true" outlineLevel="0" collapsed="false">
      <c r="A1" s="1" t="s">
        <v>0</v>
      </c>
      <c r="B1" s="1"/>
      <c r="C1" s="1"/>
      <c r="D1" s="1"/>
      <c r="E1" s="1"/>
      <c r="F1" s="1"/>
    </row>
    <row r="2" customFormat="false" ht="30" hidden="false" customHeight="true" outlineLevel="0" collapsed="false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</row>
    <row r="3" customFormat="false" ht="23.85" hidden="false" customHeight="false" outlineLevel="0" collapsed="false">
      <c r="A3" s="3" t="s">
        <v>7</v>
      </c>
      <c r="B3" s="3" t="s">
        <v>8</v>
      </c>
      <c r="C3" s="4" t="n">
        <v>0.99</v>
      </c>
      <c r="D3" s="4" t="n">
        <v>0.99</v>
      </c>
      <c r="E3" s="5" t="n">
        <f aca="false">AVERAGE(C3:D3)</f>
        <v>0.99</v>
      </c>
      <c r="F3" s="3" t="s">
        <v>9</v>
      </c>
    </row>
    <row r="4" customFormat="false" ht="15" hidden="false" customHeight="false" outlineLevel="0" collapsed="false">
      <c r="A4" s="3" t="s">
        <v>10</v>
      </c>
      <c r="B4" s="3" t="s">
        <v>11</v>
      </c>
      <c r="C4" s="4" t="n">
        <v>0.99</v>
      </c>
      <c r="D4" s="4" t="n">
        <v>0.99</v>
      </c>
      <c r="E4" s="5" t="n">
        <f aca="false">AVERAGE(C4:D4)</f>
        <v>0.99</v>
      </c>
      <c r="F4" s="3" t="s">
        <v>12</v>
      </c>
    </row>
    <row r="5" customFormat="false" ht="15" hidden="false" customHeight="false" outlineLevel="0" collapsed="false">
      <c r="A5" s="3" t="s">
        <v>13</v>
      </c>
      <c r="B5" s="3" t="s">
        <v>14</v>
      </c>
      <c r="C5" s="4" t="n">
        <v>0.98</v>
      </c>
      <c r="D5" s="4" t="n">
        <v>0.995</v>
      </c>
      <c r="E5" s="5" t="n">
        <f aca="false">AVERAGE(C5:D5)</f>
        <v>0.9875</v>
      </c>
      <c r="F5" s="3" t="s">
        <v>15</v>
      </c>
    </row>
    <row r="6" customFormat="false" ht="15" hidden="false" customHeight="false" outlineLevel="0" collapsed="false">
      <c r="A6" s="3" t="s">
        <v>16</v>
      </c>
      <c r="B6" s="3" t="s">
        <v>17</v>
      </c>
      <c r="C6" s="4" t="n">
        <v>0.97</v>
      </c>
      <c r="D6" s="4" t="n">
        <v>0.98</v>
      </c>
      <c r="E6" s="5" t="n">
        <f aca="false">AVERAGE(C6:D6)</f>
        <v>0.975</v>
      </c>
      <c r="F6" s="3" t="s">
        <v>18</v>
      </c>
    </row>
    <row r="7" customFormat="false" ht="15" hidden="false" customHeight="false" outlineLevel="0" collapsed="false">
      <c r="A7" s="3" t="s">
        <v>19</v>
      </c>
      <c r="B7" s="3" t="s">
        <v>20</v>
      </c>
      <c r="C7" s="4" t="n">
        <v>0.96</v>
      </c>
      <c r="D7" s="4" t="n">
        <v>0.98</v>
      </c>
      <c r="E7" s="5" t="n">
        <f aca="false">AVERAGE(C7:D7)</f>
        <v>0.97</v>
      </c>
      <c r="F7" s="3" t="s">
        <v>21</v>
      </c>
    </row>
    <row r="8" customFormat="false" ht="15" hidden="false" customHeight="false" outlineLevel="0" collapsed="false">
      <c r="A8" s="3" t="s">
        <v>22</v>
      </c>
      <c r="B8" s="3" t="s">
        <v>23</v>
      </c>
      <c r="C8" s="4" t="n">
        <v>0.97</v>
      </c>
      <c r="D8" s="4" t="n">
        <v>0.99</v>
      </c>
      <c r="E8" s="5" t="n">
        <f aca="false">AVERAGE(C8:D8)</f>
        <v>0.98</v>
      </c>
      <c r="F8" s="3" t="s">
        <v>24</v>
      </c>
    </row>
    <row r="9" customFormat="false" ht="15" hidden="false" customHeight="false" outlineLevel="0" collapsed="false">
      <c r="A9" s="3" t="s">
        <v>25</v>
      </c>
      <c r="B9" s="3" t="s">
        <v>26</v>
      </c>
      <c r="C9" s="4" t="n">
        <v>0.9</v>
      </c>
      <c r="D9" s="4" t="n">
        <v>0.98</v>
      </c>
      <c r="E9" s="5" t="n">
        <f aca="false">AVERAGE(C9:D9)</f>
        <v>0.94</v>
      </c>
      <c r="F9" s="3" t="s">
        <v>27</v>
      </c>
    </row>
    <row r="10" customFormat="false" ht="15" hidden="false" customHeight="false" outlineLevel="0" collapsed="false">
      <c r="A10" s="3" t="s">
        <v>28</v>
      </c>
      <c r="B10" s="3" t="s">
        <v>29</v>
      </c>
      <c r="C10" s="4" t="n">
        <v>0.95</v>
      </c>
      <c r="D10" s="4" t="n">
        <v>0.97</v>
      </c>
      <c r="E10" s="5" t="n">
        <f aca="false">AVERAGE(C10:D10)</f>
        <v>0.96</v>
      </c>
      <c r="F10" s="3" t="s">
        <v>30</v>
      </c>
    </row>
    <row r="11" customFormat="false" ht="15" hidden="false" customHeight="false" outlineLevel="0" collapsed="false">
      <c r="A11" s="3" t="s">
        <v>31</v>
      </c>
      <c r="B11" s="3" t="s">
        <v>32</v>
      </c>
      <c r="C11" s="4" t="n">
        <v>0.99</v>
      </c>
      <c r="D11" s="4" t="n">
        <v>1</v>
      </c>
      <c r="E11" s="5" t="n">
        <f aca="false">AVERAGE(C11:D11)</f>
        <v>0.995</v>
      </c>
      <c r="F11" s="3" t="s">
        <v>33</v>
      </c>
    </row>
  </sheetData>
  <mergeCells count="1">
    <mergeCell ref="A1:F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8"/>
    <col collapsed="false" customWidth="true" hidden="false" outlineLevel="0" max="2" min="2" style="0" width="44"/>
    <col collapsed="false" customWidth="true" hidden="false" outlineLevel="0" max="4" min="3" style="0" width="16"/>
    <col collapsed="false" customWidth="true" hidden="false" outlineLevel="0" max="5" min="5" style="0" width="13"/>
    <col collapsed="false" customWidth="true" hidden="false" outlineLevel="0" max="6" min="6" style="0" width="48"/>
  </cols>
  <sheetData>
    <row r="1" customFormat="false" ht="30" hidden="false" customHeight="true" outlineLevel="0" collapsed="false">
      <c r="A1" s="2" t="s">
        <v>34</v>
      </c>
      <c r="B1" s="2" t="s">
        <v>35</v>
      </c>
      <c r="C1" s="2" t="s">
        <v>3</v>
      </c>
      <c r="D1" s="2" t="s">
        <v>4</v>
      </c>
      <c r="E1" s="2" t="s">
        <v>5</v>
      </c>
      <c r="F1" s="2" t="s">
        <v>6</v>
      </c>
    </row>
    <row r="2" customFormat="false" ht="15" hidden="false" customHeight="false" outlineLevel="0" collapsed="false">
      <c r="A2" s="3" t="s">
        <v>36</v>
      </c>
      <c r="B2" s="3" t="s">
        <v>37</v>
      </c>
      <c r="C2" s="4" t="n">
        <v>0.9</v>
      </c>
      <c r="D2" s="4" t="n">
        <v>1</v>
      </c>
      <c r="E2" s="5" t="n">
        <f aca="false">AVERAGE(C2:D2)</f>
        <v>0.95</v>
      </c>
    </row>
    <row r="3" customFormat="false" ht="15" hidden="false" customHeight="false" outlineLevel="0" collapsed="false">
      <c r="A3" s="3" t="s">
        <v>38</v>
      </c>
      <c r="B3" s="3" t="s">
        <v>39</v>
      </c>
      <c r="C3" s="4" t="n">
        <v>0.85</v>
      </c>
      <c r="D3" s="4" t="n">
        <v>0.95</v>
      </c>
      <c r="E3" s="5" t="n">
        <f aca="false">AVERAGE(C3:D3)</f>
        <v>0.9</v>
      </c>
    </row>
    <row r="4" customFormat="false" ht="15" hidden="false" customHeight="false" outlineLevel="0" collapsed="false">
      <c r="A4" s="3" t="s">
        <v>40</v>
      </c>
      <c r="B4" s="3" t="s">
        <v>41</v>
      </c>
      <c r="C4" s="4" t="n">
        <v>0.9</v>
      </c>
      <c r="D4" s="4" t="n">
        <v>0.98</v>
      </c>
      <c r="E4" s="5" t="n">
        <f aca="false">AVERAGE(C4:D4)</f>
        <v>0.94</v>
      </c>
    </row>
    <row r="5" customFormat="false" ht="15" hidden="false" customHeight="false" outlineLevel="0" collapsed="false">
      <c r="A5" s="3" t="s">
        <v>42</v>
      </c>
      <c r="B5" s="3" t="s">
        <v>43</v>
      </c>
      <c r="C5" s="4" t="n">
        <v>0.85</v>
      </c>
      <c r="D5" s="4" t="n">
        <v>0.95</v>
      </c>
      <c r="E5" s="5" t="n">
        <f aca="false">AVERAGE(C5:D5)</f>
        <v>0.9</v>
      </c>
    </row>
    <row r="7" customFormat="false" ht="15" hidden="false" customHeight="false" outlineLevel="0" collapsed="false">
      <c r="A7" s="6" t="s">
        <v>44</v>
      </c>
    </row>
    <row r="8" customFormat="false" ht="15" hidden="false" customHeight="false" outlineLevel="0" collapsed="false">
      <c r="A8" s="7" t="s">
        <v>45</v>
      </c>
      <c r="B8" s="7"/>
      <c r="C8" s="7"/>
      <c r="D8" s="7"/>
      <c r="E8" s="7"/>
      <c r="F8" s="7"/>
    </row>
  </sheetData>
  <mergeCells count="1">
    <mergeCell ref="A8:F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2" topLeftCell="B3" activePane="bottomRight" state="frozen"/>
      <selection pane="topLeft" activeCell="A1" activeCellId="0" sqref="A1"/>
      <selection pane="topRight" activeCell="B1" activeCellId="0" sqref="B1"/>
      <selection pane="bottomLeft" activeCell="A3" activeCellId="0" sqref="A3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38"/>
    <col collapsed="false" customWidth="true" hidden="false" outlineLevel="0" max="5" min="3" style="0" width="12"/>
    <col collapsed="false" customWidth="true" hidden="false" outlineLevel="0" max="6" min="6" style="0" width="40"/>
  </cols>
  <sheetData>
    <row r="1" customFormat="false" ht="36" hidden="false" customHeight="true" outlineLevel="0" collapsed="false">
      <c r="A1" s="1" t="s">
        <v>46</v>
      </c>
      <c r="B1" s="1"/>
      <c r="C1" s="1"/>
      <c r="D1" s="1"/>
      <c r="E1" s="1"/>
      <c r="F1" s="1"/>
    </row>
    <row r="2" customFormat="false" ht="30" hidden="false" customHeight="true" outlineLevel="0" collapsed="false">
      <c r="A2" s="2" t="s">
        <v>1</v>
      </c>
      <c r="B2" s="2" t="s">
        <v>2</v>
      </c>
      <c r="C2" s="2" t="s">
        <v>47</v>
      </c>
      <c r="D2" s="2" t="s">
        <v>48</v>
      </c>
      <c r="E2" s="2" t="s">
        <v>5</v>
      </c>
      <c r="F2" s="2" t="s">
        <v>6</v>
      </c>
    </row>
    <row r="3" customFormat="false" ht="15" hidden="false" customHeight="false" outlineLevel="0" collapsed="false">
      <c r="A3" s="3" t="s">
        <v>49</v>
      </c>
      <c r="B3" s="3" t="s">
        <v>29</v>
      </c>
      <c r="C3" s="8" t="n">
        <v>0.6</v>
      </c>
      <c r="D3" s="8" t="n">
        <v>0.75</v>
      </c>
      <c r="E3" s="9" t="n">
        <f aca="false">AVERAGE(C3:D3)</f>
        <v>0.675</v>
      </c>
      <c r="F3" s="3" t="s">
        <v>50</v>
      </c>
    </row>
    <row r="4" customFormat="false" ht="15" hidden="false" customHeight="false" outlineLevel="0" collapsed="false">
      <c r="A4" s="3" t="s">
        <v>51</v>
      </c>
      <c r="B4" s="3" t="s">
        <v>52</v>
      </c>
      <c r="C4" s="8" t="n">
        <v>0.7</v>
      </c>
      <c r="D4" s="8" t="n">
        <v>0.85</v>
      </c>
      <c r="E4" s="9" t="n">
        <f aca="false">AVERAGE(C4:D4)</f>
        <v>0.775</v>
      </c>
      <c r="F4" s="3"/>
    </row>
    <row r="5" customFormat="false" ht="15" hidden="false" customHeight="false" outlineLevel="0" collapsed="false">
      <c r="A5" s="3" t="s">
        <v>53</v>
      </c>
      <c r="B5" s="3" t="s">
        <v>54</v>
      </c>
      <c r="C5" s="8" t="n">
        <v>0.85</v>
      </c>
      <c r="D5" s="8" t="n">
        <v>0.95</v>
      </c>
      <c r="E5" s="9" t="n">
        <f aca="false">AVERAGE(C5:D5)</f>
        <v>0.9</v>
      </c>
      <c r="F5" s="3"/>
    </row>
    <row r="6" customFormat="false" ht="15" hidden="false" customHeight="false" outlineLevel="0" collapsed="false">
      <c r="A6" s="3" t="s">
        <v>55</v>
      </c>
      <c r="B6" s="3" t="s">
        <v>14</v>
      </c>
      <c r="C6" s="8" t="n">
        <v>0.88</v>
      </c>
      <c r="D6" s="8" t="n">
        <v>0.96</v>
      </c>
      <c r="E6" s="9" t="n">
        <f aca="false">AVERAGE(C6:D6)</f>
        <v>0.92</v>
      </c>
      <c r="F6" s="3" t="s">
        <v>56</v>
      </c>
    </row>
    <row r="7" customFormat="false" ht="15" hidden="false" customHeight="false" outlineLevel="0" collapsed="false">
      <c r="A7" s="3" t="s">
        <v>57</v>
      </c>
      <c r="B7" s="3" t="s">
        <v>23</v>
      </c>
      <c r="C7" s="8" t="n">
        <v>0.85</v>
      </c>
      <c r="D7" s="8" t="n">
        <v>0.95</v>
      </c>
      <c r="E7" s="9" t="n">
        <f aca="false">AVERAGE(C7:D7)</f>
        <v>0.9</v>
      </c>
      <c r="F7" s="3"/>
    </row>
    <row r="8" customFormat="false" ht="15" hidden="false" customHeight="false" outlineLevel="0" collapsed="false">
      <c r="A8" s="3" t="s">
        <v>58</v>
      </c>
      <c r="B8" s="3" t="s">
        <v>59</v>
      </c>
      <c r="C8" s="8" t="n">
        <v>0.8</v>
      </c>
      <c r="D8" s="8" t="n">
        <v>0.93</v>
      </c>
      <c r="E8" s="9" t="n">
        <f aca="false">AVERAGE(C8:D8)</f>
        <v>0.865</v>
      </c>
      <c r="F8" s="3" t="s">
        <v>60</v>
      </c>
    </row>
  </sheetData>
  <mergeCells count="1">
    <mergeCell ref="A1:F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2"/>
    <col collapsed="false" customWidth="true" hidden="false" outlineLevel="0" max="2" min="2" style="0" width="46"/>
    <col collapsed="false" customWidth="true" hidden="false" outlineLevel="0" max="3" min="3" style="0" width="32"/>
    <col collapsed="false" customWidth="true" hidden="false" outlineLevel="0" max="4" min="4" style="0" width="22"/>
  </cols>
  <sheetData>
    <row r="1" customFormat="false" ht="30" hidden="false" customHeight="true" outlineLevel="0" collapsed="false">
      <c r="A1" s="2" t="s">
        <v>61</v>
      </c>
      <c r="B1" s="2" t="s">
        <v>62</v>
      </c>
      <c r="C1" s="2" t="s">
        <v>63</v>
      </c>
      <c r="D1" s="2" t="s">
        <v>64</v>
      </c>
    </row>
    <row r="2" customFormat="false" ht="15" hidden="false" customHeight="false" outlineLevel="0" collapsed="false">
      <c r="A2" s="3" t="s">
        <v>65</v>
      </c>
      <c r="B2" s="3" t="s">
        <v>66</v>
      </c>
      <c r="C2" s="3" t="s">
        <v>67</v>
      </c>
      <c r="D2" s="3" t="s">
        <v>68</v>
      </c>
    </row>
    <row r="3" customFormat="false" ht="15" hidden="false" customHeight="false" outlineLevel="0" collapsed="false">
      <c r="A3" s="3" t="s">
        <v>69</v>
      </c>
      <c r="B3" s="3" t="s">
        <v>70</v>
      </c>
      <c r="C3" s="3" t="s">
        <v>71</v>
      </c>
      <c r="D3" s="3" t="s">
        <v>72</v>
      </c>
    </row>
    <row r="4" customFormat="false" ht="15" hidden="false" customHeight="false" outlineLevel="0" collapsed="false">
      <c r="A4" s="3" t="s">
        <v>73</v>
      </c>
      <c r="B4" s="3" t="s">
        <v>74</v>
      </c>
      <c r="C4" s="3" t="s">
        <v>75</v>
      </c>
      <c r="D4" s="3" t="s">
        <v>76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2" topLeftCell="B3" activePane="bottomRight" state="frozen"/>
      <selection pane="topLeft" activeCell="A1" activeCellId="0" sqref="A1"/>
      <selection pane="topRight" activeCell="B1" activeCellId="0" sqref="B1"/>
      <selection pane="bottomLeft" activeCell="A3" activeCellId="0" sqref="A3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46"/>
    <col collapsed="false" customWidth="true" hidden="false" outlineLevel="0" max="4" min="3" style="0" width="48"/>
  </cols>
  <sheetData>
    <row r="1" customFormat="false" ht="36" hidden="false" customHeight="true" outlineLevel="0" collapsed="false">
      <c r="A1" s="1" t="s">
        <v>77</v>
      </c>
      <c r="B1" s="1"/>
      <c r="C1" s="1"/>
      <c r="D1" s="1"/>
    </row>
    <row r="2" customFormat="false" ht="30" hidden="false" customHeight="true" outlineLevel="0" collapsed="false">
      <c r="A2" s="2" t="s">
        <v>78</v>
      </c>
      <c r="B2" s="2" t="s">
        <v>79</v>
      </c>
      <c r="C2" s="2" t="s">
        <v>80</v>
      </c>
      <c r="D2" s="2" t="s">
        <v>81</v>
      </c>
    </row>
    <row r="3" customFormat="false" ht="15" hidden="false" customHeight="false" outlineLevel="0" collapsed="false">
      <c r="A3" s="3" t="n">
        <v>1</v>
      </c>
      <c r="B3" s="3" t="s">
        <v>82</v>
      </c>
      <c r="C3" s="3" t="s">
        <v>83</v>
      </c>
      <c r="D3" s="3" t="s">
        <v>84</v>
      </c>
    </row>
    <row r="4" customFormat="false" ht="15" hidden="false" customHeight="false" outlineLevel="0" collapsed="false">
      <c r="A4" s="3" t="n">
        <v>2</v>
      </c>
      <c r="B4" s="3" t="s">
        <v>85</v>
      </c>
      <c r="C4" s="3" t="s">
        <v>86</v>
      </c>
      <c r="D4" s="3" t="s">
        <v>87</v>
      </c>
    </row>
    <row r="5" customFormat="false" ht="15" hidden="false" customHeight="false" outlineLevel="0" collapsed="false">
      <c r="A5" s="3" t="n">
        <v>3</v>
      </c>
      <c r="B5" s="3" t="s">
        <v>88</v>
      </c>
      <c r="C5" s="3" t="s">
        <v>89</v>
      </c>
      <c r="D5" s="3" t="s">
        <v>90</v>
      </c>
    </row>
    <row r="6" customFormat="false" ht="15" hidden="false" customHeight="false" outlineLevel="0" collapsed="false">
      <c r="A6" s="3" t="n">
        <v>4</v>
      </c>
      <c r="B6" s="3" t="s">
        <v>91</v>
      </c>
      <c r="C6" s="3" t="s">
        <v>92</v>
      </c>
      <c r="D6" s="3" t="s">
        <v>93</v>
      </c>
    </row>
    <row r="7" customFormat="false" ht="15" hidden="false" customHeight="false" outlineLevel="0" collapsed="false">
      <c r="A7" s="3" t="n">
        <v>5</v>
      </c>
      <c r="B7" s="3" t="s">
        <v>94</v>
      </c>
      <c r="C7" s="3" t="s">
        <v>95</v>
      </c>
      <c r="D7" s="3" t="s">
        <v>96</v>
      </c>
    </row>
  </sheetData>
  <mergeCells count="1">
    <mergeCell ref="A1:D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0"/>
  </cols>
  <sheetData>
    <row r="1" customFormat="false" ht="15" hidden="false" customHeight="false" outlineLevel="0" collapsed="false">
      <c r="A1" s="10" t="s">
        <v>97</v>
      </c>
    </row>
    <row r="2" customFormat="false" ht="15" hidden="false" customHeight="false" outlineLevel="0" collapsed="false">
      <c r="A2" s="11" t="s">
        <v>98</v>
      </c>
    </row>
    <row r="3" customFormat="false" ht="15" hidden="false" customHeight="false" outlineLevel="0" collapsed="false">
      <c r="A3" s="11" t="s">
        <v>99</v>
      </c>
    </row>
    <row r="4" customFormat="false" ht="15" hidden="false" customHeight="false" outlineLevel="0" collapsed="false">
      <c r="A4" s="11" t="s">
        <v>100</v>
      </c>
    </row>
    <row r="5" customFormat="false" ht="15" hidden="false" customHeight="false" outlineLevel="0" collapsed="false">
      <c r="A5" s="11" t="s">
        <v>101</v>
      </c>
    </row>
    <row r="6" customFormat="false" ht="15" hidden="false" customHeight="false" outlineLevel="0" collapsed="false">
      <c r="A6" s="11" t="s">
        <v>102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2026-10-08T04:22:16Z</dcterms:created>
  <dc:creator>openpyxl</dc:creator>
  <dc:description/>
  <dc:language>en-US</dc:language>
  <cp:lastModifiedBy/>
  <dcterms:modified xsi:type="dcterms:W3CDTF">2026-10-08T04:22:16Z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